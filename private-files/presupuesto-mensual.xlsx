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<sst xmlns="http://schemas.openxmlformats.org/spreadsheetml/2006/main" count="32" uniqueCount="27">
  <si>
    <t xml:space="preserve">Presupuesto Mensual Inteligente</t>
  </si>
  <si>
    <t xml:space="preserve">Mes:</t>
  </si>
  <si>
    <t xml:space="preserve">Escribe el mes aquí</t>
  </si>
  <si>
    <t xml:space="preserve">Celdas en amarillo/azul: edita tus propios montos. El resto se calcula solo.</t>
  </si>
  <si>
    <t xml:space="preserve">INGRESOS</t>
  </si>
  <si>
    <t xml:space="preserve">Concepto</t>
  </si>
  <si>
    <t xml:space="preserve">Monto</t>
  </si>
  <si>
    <t xml:space="preserve">Sueldo líquido</t>
  </si>
  <si>
    <t xml:space="preserve">Ingresos extra</t>
  </si>
  <si>
    <t xml:space="preserve">Total ingresos</t>
  </si>
  <si>
    <t xml:space="preserve">GASTOS FIJOS</t>
  </si>
  <si>
    <t xml:space="preserve">Arriendo / dividendo</t>
  </si>
  <si>
    <t xml:space="preserve">Cuentas (luz, agua, gas)</t>
  </si>
  <si>
    <t xml:space="preserve">Internet y celular</t>
  </si>
  <si>
    <t xml:space="preserve">Seguros</t>
  </si>
  <si>
    <t xml:space="preserve">Transporte (pase, bencina)</t>
  </si>
  <si>
    <t xml:space="preserve">Total gastos fijos</t>
  </si>
  <si>
    <t xml:space="preserve">GASTOS VARIABLES</t>
  </si>
  <si>
    <t xml:space="preserve">Supermercado</t>
  </si>
  <si>
    <t xml:space="preserve">Salidas y ocio</t>
  </si>
  <si>
    <t xml:space="preserve">Ropa</t>
  </si>
  <si>
    <t xml:space="preserve">Imprevistos</t>
  </si>
  <si>
    <t xml:space="preserve">Total gastos variables</t>
  </si>
  <si>
    <t xml:space="preserve">RESUMEN DEL MES</t>
  </si>
  <si>
    <t xml:space="preserve">Total gastos (fijos + variables)</t>
  </si>
  <si>
    <t xml:space="preserve">Saldo del mes</t>
  </si>
  <si>
    <t xml:space="preserve">Estado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</si>
</sst>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[RED]&quot;-$&quot;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302A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3EFE1"/>
      </patternFill>
    </fill>
    <fill>
      <patternFill patternType="solid">
        <fgColor rgb="FF16302A"/>
        <bgColor rgb="FF003300"/>
      </patternFill>
    </fill>
    <fill>
      <patternFill patternType="solid">
        <fgColor rgb="FFF3EFE1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CB"/>
        </patternFill>
      </fill>
    </dxf>
    <dxf>
      <fill>
        <patternFill>
          <bgColor rgb="FFC6E7C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3EFE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7C1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3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3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4" t="s">
        <v>3</v>
      </c>
      <c r="B3" s="4"/>
      <c r="C3" s="4"/>
      <c r="D3" s="4"/>
      <c r="E3" s="4"/>
    </row>
    <row r="5" customFormat="false" ht="15" hidden="false" customHeight="false" outlineLevel="0" collapsed="false">
      <c r="A5" s="5" t="s">
        <v>4</v>
      </c>
      <c r="B5" s="5"/>
    </row>
    <row r="6" customFormat="false" ht="15" hidden="false" customHeight="false" outlineLevel="0" collapsed="false">
      <c r="A6" s="6" t="s">
        <v>5</v>
      </c>
      <c r="B6" s="6" t="s">
        <v>6</v>
      </c>
    </row>
    <row r="7" customFormat="false" ht="15" hidden="false" customHeight="false" outlineLevel="0" collapsed="false">
      <c r="A7" s="7" t="s">
        <v>7</v>
      </c>
      <c r="B7" s="8" t="n">
        <v>750000</v>
      </c>
    </row>
    <row r="8" customFormat="false" ht="15" hidden="false" customHeight="false" outlineLevel="0" collapsed="false">
      <c r="A8" s="7" t="s">
        <v>8</v>
      </c>
      <c r="B8" s="8" t="n">
        <v>70000</v>
      </c>
    </row>
    <row r="9" customFormat="false" ht="15" hidden="false" customHeight="false" outlineLevel="0" collapsed="false">
      <c r="A9" s="9" t="s">
        <v>9</v>
      </c>
      <c r="B9" s="10" t="n">
        <f aca="false">SUM(B7:B8)</f>
        <v>820000</v>
      </c>
    </row>
    <row r="11" customFormat="false" ht="15" hidden="false" customHeight="false" outlineLevel="0" collapsed="false">
      <c r="A11" s="5" t="s">
        <v>10</v>
      </c>
      <c r="B11" s="5"/>
    </row>
    <row r="12" customFormat="false" ht="15" hidden="false" customHeight="false" outlineLevel="0" collapsed="false">
      <c r="A12" s="6" t="s">
        <v>5</v>
      </c>
      <c r="B12" s="6" t="s">
        <v>6</v>
      </c>
    </row>
    <row r="13" customFormat="false" ht="15" hidden="false" customHeight="false" outlineLevel="0" collapsed="false">
      <c r="A13" s="7" t="s">
        <v>11</v>
      </c>
      <c r="B13" s="8" t="n">
        <v>310000</v>
      </c>
    </row>
    <row r="14" customFormat="false" ht="15" hidden="false" customHeight="false" outlineLevel="0" collapsed="false">
      <c r="A14" s="7" t="s">
        <v>12</v>
      </c>
      <c r="B14" s="8" t="n">
        <v>45000</v>
      </c>
    </row>
    <row r="15" customFormat="false" ht="15" hidden="false" customHeight="false" outlineLevel="0" collapsed="false">
      <c r="A15" s="7" t="s">
        <v>13</v>
      </c>
      <c r="B15" s="8" t="n">
        <v>28000</v>
      </c>
    </row>
    <row r="16" customFormat="false" ht="15" hidden="false" customHeight="false" outlineLevel="0" collapsed="false">
      <c r="A16" s="7" t="s">
        <v>14</v>
      </c>
      <c r="B16" s="8" t="n">
        <v>15000</v>
      </c>
    </row>
    <row r="17" customFormat="false" ht="15" hidden="false" customHeight="false" outlineLevel="0" collapsed="false">
      <c r="A17" s="7" t="s">
        <v>15</v>
      </c>
      <c r="B17" s="8" t="n">
        <v>40000</v>
      </c>
    </row>
    <row r="18" customFormat="false" ht="15" hidden="false" customHeight="false" outlineLevel="0" collapsed="false">
      <c r="A18" s="9" t="s">
        <v>16</v>
      </c>
      <c r="B18" s="10" t="n">
        <f aca="false">SUM(B13:B17)</f>
        <v>438000</v>
      </c>
    </row>
    <row r="20" customFormat="false" ht="15" hidden="false" customHeight="false" outlineLevel="0" collapsed="false">
      <c r="A20" s="5" t="s">
        <v>17</v>
      </c>
      <c r="B20" s="5"/>
    </row>
    <row r="21" customFormat="false" ht="15" hidden="false" customHeight="false" outlineLevel="0" collapsed="false">
      <c r="A21" s="6" t="s">
        <v>5</v>
      </c>
      <c r="B21" s="6" t="s">
        <v>6</v>
      </c>
    </row>
    <row r="22" customFormat="false" ht="15" hidden="false" customHeight="false" outlineLevel="0" collapsed="false">
      <c r="A22" s="7" t="s">
        <v>18</v>
      </c>
      <c r="B22" s="8" t="n">
        <v>130000</v>
      </c>
    </row>
    <row r="23" customFormat="false" ht="15" hidden="false" customHeight="false" outlineLevel="0" collapsed="false">
      <c r="A23" s="7" t="s">
        <v>19</v>
      </c>
      <c r="B23" s="8" t="n">
        <v>60000</v>
      </c>
    </row>
    <row r="24" customFormat="false" ht="15" hidden="false" customHeight="false" outlineLevel="0" collapsed="false">
      <c r="A24" s="7" t="s">
        <v>20</v>
      </c>
      <c r="B24" s="8" t="n">
        <v>20000</v>
      </c>
    </row>
    <row r="25" customFormat="false" ht="15" hidden="false" customHeight="false" outlineLevel="0" collapsed="false">
      <c r="A25" s="7" t="s">
        <v>21</v>
      </c>
      <c r="B25" s="8" t="n">
        <v>30000</v>
      </c>
    </row>
    <row r="26" customFormat="false" ht="15" hidden="false" customHeight="false" outlineLevel="0" collapsed="false">
      <c r="A26" s="9" t="s">
        <v>22</v>
      </c>
      <c r="B26" s="10" t="n">
        <f aca="false">SUM(B22:B25)</f>
        <v>240000</v>
      </c>
    </row>
    <row r="28" customFormat="false" ht="15" hidden="false" customHeight="false" outlineLevel="0" collapsed="false">
      <c r="A28" s="5" t="s">
        <v>23</v>
      </c>
      <c r="B28" s="5"/>
    </row>
    <row r="29" customFormat="false" ht="15" hidden="false" customHeight="false" outlineLevel="0" collapsed="false">
      <c r="A29" s="2" t="s">
        <v>9</v>
      </c>
      <c r="B29" s="11" t="n">
        <f aca="false">B9</f>
        <v>820000</v>
      </c>
    </row>
    <row r="30" customFormat="false" ht="15" hidden="false" customHeight="false" outlineLevel="0" collapsed="false">
      <c r="A30" s="2" t="s">
        <v>24</v>
      </c>
      <c r="B30" s="11" t="n">
        <f aca="false">B18+B26</f>
        <v>678000</v>
      </c>
    </row>
    <row r="31" customFormat="false" ht="16.15" hidden="false" customHeight="false" outlineLevel="0" collapsed="false">
      <c r="A31" s="12" t="s">
        <v>25</v>
      </c>
      <c r="B31" s="13" t="n">
        <f aca="false">B29-B30</f>
        <v>142000</v>
      </c>
    </row>
    <row r="32" customFormat="false" ht="15" hidden="false" customHeight="false" outlineLevel="0" collapsed="false">
      <c r="A32" s="2" t="s">
        <v>26</v>
      </c>
      <c r="B32" s="14" t="str">
        <f aca="false">IF(B31&lt;0,"⚠ Sobregiro","✓ En regla")</f>
        <v>✓ En regla</v>
      </c>
    </row>
  </sheetData>
  <mergeCells count="6">
    <mergeCell ref="A1:E1"/>
    <mergeCell ref="A3:E3"/>
    <mergeCell ref="A5:B5"/>
    <mergeCell ref="A11:B11"/>
    <mergeCell ref="A20:B20"/>
    <mergeCell ref="A28:B28"/>
  </mergeCells>
  <conditionalFormatting sqref="B3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B32">
    <cfRule type="cellIs" priority="4" operator="equal" aboveAverage="0" equalAverage="0" bottom="0" percent="0" rank="0" text="" dxfId="0">
      <formula>"⚠ Sobregiro"</formula>
    </cfRule>
    <cfRule type="cellIs" priority="5" operator="equal" aboveAverage="0" equalAverage="0" bottom="0" percent="0" rank="0" text="" dxfId="1">
      <formula>"✓ En regla"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2026-08-02T07:33:34Z</dcterms:created>
  <dc:creator>openpyxl</dc:creator>
  <dc:description/>
  <dc:language>en-US</dc:language>
  <cp:lastModifiedBy/>
  <dcterms:modified xsi:type="dcterms:W3CDTF">2026-08-02T07:33:34Z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