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de ahor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<sst xmlns="http://schemas.openxmlformats.org/spreadsheetml/2006/main" count="17" uniqueCount="17">
  <si>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Calculadora de Meta de Ahorro</t>
  </si>
  <si>
    <t xml:space="preserve">Celdas en amarillo: escribe tu meta, lo que ya tienes ahorrado y tu fecha límite.</t>
  </si>
  <si>
    <t xml:space="preserve">Meta de ahorro</t>
  </si>
  <si>
    <t xml:space="preserve">Ahorro actual</t>
  </si>
  <si>
    <t xml:space="preserve">Fecha límite</t>
  </si>
  <si>
    <t xml:space="preserve">Fecha de hoy</t>
  </si>
  <si>
    <t xml:space="preserve">RESULTADOS</t>
  </si>
  <si>
    <t xml:space="preserve">Semanas restantes</t>
  </si>
  <si>
    <t xml:space="preserve">Meses restantes (aprox.)</t>
  </si>
  <si>
    <t xml:space="preserve">Monto que falta ahorrar</t>
  </si>
  <si>
    <t xml:space="preserve">Ahorro semanal necesario</t>
  </si>
  <si>
    <t xml:space="preserve">Ahorro mensual necesario</t>
  </si>
  <si>
    <t xml:space="preserve">SEGUIMIENTO SEMANAL (opcional)</t>
  </si>
  <si>
    <t xml:space="preserve">Semana</t>
  </si>
  <si>
    <t xml:space="preserve">Meta semanal</t>
  </si>
  <si>
    <t xml:space="preserve">Ahorrado</t>
  </si>
  <si>
    <t xml:space="preserve">Diferencia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</si>
</sst>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dd/mm/yyyy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302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3EFE1"/>
      </patternFill>
    </fill>
    <fill>
      <patternFill patternType="solid">
        <fgColor rgb="FF16302A"/>
        <bgColor rgb="FF003300"/>
      </patternFill>
    </fill>
    <fill>
      <patternFill patternType="solid">
        <fgColor rgb="FFF3EF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CB"/>
        </patternFill>
      </fill>
    </dxf>
    <dxf>
      <fill>
        <patternFill>
          <bgColor rgb="FFC6E7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3EF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1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1000000</v>
      </c>
    </row>
    <row r="5" customFormat="false" ht="15" hidden="false" customHeight="false" outlineLevel="0" collapsed="false">
      <c r="A5" s="3" t="s">
        <v>3</v>
      </c>
      <c r="B5" s="4" t="n">
        <v>150000</v>
      </c>
    </row>
    <row r="6" customFormat="false" ht="15" hidden="false" customHeight="false" outlineLevel="0" collapsed="false">
      <c r="A6" s="3" t="s">
        <v>4</v>
      </c>
      <c r="B6" s="5" t="n">
        <v>46416</v>
      </c>
    </row>
    <row r="7" customFormat="false" ht="15" hidden="false" customHeight="false" outlineLevel="0" collapsed="false">
      <c r="A7" s="3" t="s">
        <v>5</v>
      </c>
      <c r="B7" s="6" t="n">
        <f aca="true">TODAY()</f>
        <v>46236</v>
      </c>
    </row>
    <row r="9" customFormat="false" ht="15" hidden="false" customHeight="false" outlineLevel="0" collapsed="false">
      <c r="A9" s="7" t="s">
        <v>6</v>
      </c>
      <c r="B9" s="7"/>
    </row>
    <row r="10" customFormat="false" ht="15" hidden="false" customHeight="false" outlineLevel="0" collapsed="false">
      <c r="A10" s="3" t="s">
        <v>7</v>
      </c>
      <c r="B10" s="8" t="n">
        <f aca="false">MAX(1,ROUNDUP((B6-B7)/7,0))</f>
        <v>26</v>
      </c>
    </row>
    <row r="11" customFormat="false" ht="15" hidden="false" customHeight="false" outlineLevel="0" collapsed="false">
      <c r="A11" s="3" t="s">
        <v>8</v>
      </c>
      <c r="B11" s="8" t="n">
        <f aca="false">MAX(1,ROUNDUP((B6-B7)/30.44,0))</f>
        <v>6</v>
      </c>
    </row>
    <row r="12" customFormat="false" ht="15" hidden="false" customHeight="false" outlineLevel="0" collapsed="false">
      <c r="A12" s="3" t="s">
        <v>9</v>
      </c>
      <c r="B12" s="9" t="n">
        <f aca="false">MAX(0,B4-B5)</f>
        <v>850000</v>
      </c>
    </row>
    <row r="13" customFormat="false" ht="15" hidden="false" customHeight="false" outlineLevel="0" collapsed="false">
      <c r="A13" s="10" t="s">
        <v>10</v>
      </c>
      <c r="B13" s="11" t="n">
        <f aca="false">B12/B10</f>
        <v>32692.3076923077</v>
      </c>
    </row>
    <row r="14" customFormat="false" ht="15" hidden="false" customHeight="false" outlineLevel="0" collapsed="false">
      <c r="A14" s="10" t="s">
        <v>11</v>
      </c>
      <c r="B14" s="11" t="n">
        <f aca="false">B12/B11</f>
        <v>141666.666666667</v>
      </c>
    </row>
    <row r="17" customFormat="false" ht="15" hidden="false" customHeight="false" outlineLevel="0" collapsed="false">
      <c r="A17" s="7" t="s">
        <v>12</v>
      </c>
      <c r="B17" s="7"/>
      <c r="C17" s="7"/>
      <c r="D17" s="7"/>
    </row>
    <row r="18" customFormat="false" ht="15" hidden="false" customHeight="false" outlineLevel="0" collapsed="false">
      <c r="A18" s="12" t="s">
        <v>13</v>
      </c>
      <c r="B18" s="12" t="s">
        <v>14</v>
      </c>
      <c r="C18" s="12" t="s">
        <v>15</v>
      </c>
      <c r="D18" s="12" t="s">
        <v>16</v>
      </c>
    </row>
    <row r="19" customFormat="false" ht="15" hidden="false" customHeight="false" outlineLevel="0" collapsed="false">
      <c r="A19" s="13" t="n">
        <v>1</v>
      </c>
      <c r="B19" s="14" t="n">
        <f aca="false">$B$13</f>
        <v>32692.3076923077</v>
      </c>
      <c r="C19" s="15" t="n">
        <v>0</v>
      </c>
      <c r="D19" s="14" t="n">
        <f aca="false">C19-B19</f>
        <v>-32692.3076923077</v>
      </c>
    </row>
    <row r="20" customFormat="false" ht="15" hidden="false" customHeight="false" outlineLevel="0" collapsed="false">
      <c r="A20" s="13" t="n">
        <v>2</v>
      </c>
      <c r="B20" s="14" t="n">
        <f aca="false">$B$13</f>
        <v>32692.3076923077</v>
      </c>
      <c r="C20" s="15" t="n">
        <v>0</v>
      </c>
      <c r="D20" s="14" t="n">
        <f aca="false">C20-B20</f>
        <v>-32692.3076923077</v>
      </c>
    </row>
    <row r="21" customFormat="false" ht="15" hidden="false" customHeight="false" outlineLevel="0" collapsed="false">
      <c r="A21" s="13" t="n">
        <v>3</v>
      </c>
      <c r="B21" s="14" t="n">
        <f aca="false">$B$13</f>
        <v>32692.3076923077</v>
      </c>
      <c r="C21" s="15" t="n">
        <v>0</v>
      </c>
      <c r="D21" s="14" t="n">
        <f aca="false">C21-B21</f>
        <v>-32692.3076923077</v>
      </c>
    </row>
    <row r="22" customFormat="false" ht="15" hidden="false" customHeight="false" outlineLevel="0" collapsed="false">
      <c r="A22" s="13" t="n">
        <v>4</v>
      </c>
      <c r="B22" s="14" t="n">
        <f aca="false">$B$13</f>
        <v>32692.3076923077</v>
      </c>
      <c r="C22" s="15" t="n">
        <v>0</v>
      </c>
      <c r="D22" s="14" t="n">
        <f aca="false">C22-B22</f>
        <v>-32692.3076923077</v>
      </c>
    </row>
    <row r="23" customFormat="false" ht="15" hidden="false" customHeight="false" outlineLevel="0" collapsed="false">
      <c r="A23" s="13" t="n">
        <v>5</v>
      </c>
      <c r="B23" s="14" t="n">
        <f aca="false">$B$13</f>
        <v>32692.3076923077</v>
      </c>
      <c r="C23" s="15" t="n">
        <v>0</v>
      </c>
      <c r="D23" s="14" t="n">
        <f aca="false">C23-B23</f>
        <v>-32692.3076923077</v>
      </c>
    </row>
    <row r="24" customFormat="false" ht="15" hidden="false" customHeight="false" outlineLevel="0" collapsed="false">
      <c r="A24" s="13" t="n">
        <v>6</v>
      </c>
      <c r="B24" s="14" t="n">
        <f aca="false">$B$13</f>
        <v>32692.3076923077</v>
      </c>
      <c r="C24" s="15" t="n">
        <v>0</v>
      </c>
      <c r="D24" s="14" t="n">
        <f aca="false">C24-B24</f>
        <v>-32692.3076923077</v>
      </c>
    </row>
    <row r="25" customFormat="false" ht="15" hidden="false" customHeight="false" outlineLevel="0" collapsed="false">
      <c r="A25" s="13" t="n">
        <v>7</v>
      </c>
      <c r="B25" s="14" t="n">
        <f aca="false">$B$13</f>
        <v>32692.3076923077</v>
      </c>
      <c r="C25" s="15" t="n">
        <v>0</v>
      </c>
      <c r="D25" s="14" t="n">
        <f aca="false">C25-B25</f>
        <v>-32692.3076923077</v>
      </c>
    </row>
    <row r="26" customFormat="false" ht="15" hidden="false" customHeight="false" outlineLevel="0" collapsed="false">
      <c r="A26" s="13" t="n">
        <v>8</v>
      </c>
      <c r="B26" s="14" t="n">
        <f aca="false">$B$13</f>
        <v>32692.3076923077</v>
      </c>
      <c r="C26" s="15" t="n">
        <v>0</v>
      </c>
      <c r="D26" s="14" t="n">
        <f aca="false">C26-B26</f>
        <v>-32692.3076923077</v>
      </c>
    </row>
    <row r="27" customFormat="false" ht="15" hidden="false" customHeight="false" outlineLevel="0" collapsed="false">
      <c r="A27" s="13" t="n">
        <v>9</v>
      </c>
      <c r="B27" s="14" t="n">
        <f aca="false">$B$13</f>
        <v>32692.3076923077</v>
      </c>
      <c r="C27" s="15" t="n">
        <v>0</v>
      </c>
      <c r="D27" s="14" t="n">
        <f aca="false">C27-B27</f>
        <v>-32692.3076923077</v>
      </c>
    </row>
    <row r="28" customFormat="false" ht="15" hidden="false" customHeight="false" outlineLevel="0" collapsed="false">
      <c r="A28" s="13" t="n">
        <v>10</v>
      </c>
      <c r="B28" s="14" t="n">
        <f aca="false">$B$13</f>
        <v>32692.3076923077</v>
      </c>
      <c r="C28" s="15" t="n">
        <v>0</v>
      </c>
      <c r="D28" s="14" t="n">
        <f aca="false">C28-B28</f>
        <v>-32692.3076923077</v>
      </c>
    </row>
    <row r="29" customFormat="false" ht="15" hidden="false" customHeight="false" outlineLevel="0" collapsed="false">
      <c r="A29" s="13" t="n">
        <v>11</v>
      </c>
      <c r="B29" s="14" t="n">
        <f aca="false">$B$13</f>
        <v>32692.3076923077</v>
      </c>
      <c r="C29" s="15" t="n">
        <v>0</v>
      </c>
      <c r="D29" s="14" t="n">
        <f aca="false">C29-B29</f>
        <v>-32692.3076923077</v>
      </c>
    </row>
    <row r="30" customFormat="false" ht="15" hidden="false" customHeight="false" outlineLevel="0" collapsed="false">
      <c r="A30" s="13" t="n">
        <v>12</v>
      </c>
      <c r="B30" s="14" t="n">
        <f aca="false">$B$13</f>
        <v>32692.3076923077</v>
      </c>
      <c r="C30" s="15" t="n">
        <v>0</v>
      </c>
      <c r="D30" s="14" t="n">
        <f aca="false">C30-B30</f>
        <v>-32692.3076923077</v>
      </c>
    </row>
  </sheetData>
  <mergeCells count="4">
    <mergeCell ref="A1:G1"/>
    <mergeCell ref="A2:G2"/>
    <mergeCell ref="A9:B9"/>
    <mergeCell ref="A17:D17"/>
  </mergeCells>
  <conditionalFormatting sqref="D19:D3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2026-08-02T07:34:41Z</dcterms:created>
  <dc:creator>openpyxl</dc:creator>
  <dc:description/>
  <dc:language>en-US</dc:language>
  <cp:lastModifiedBy/>
  <dcterms:modified xsi:type="dcterms:W3CDTF">2026-08-02T07:34:41Z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