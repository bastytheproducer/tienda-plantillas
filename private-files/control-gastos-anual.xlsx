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 anu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<sst xmlns="http://schemas.openxmlformats.org/spreadsheetml/2006/main" count="23" uniqueCount="23">
  <si>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Control de Gastos Anual</t>
  </si>
  <si>
    <t xml:space="preserve">Celdas en amarillo: edita tus propios montos por categoría y mes.</t>
  </si>
  <si>
    <t xml:space="preserve">Categoría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</si>
  <si>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</si>
  <si>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</si>
  <si>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</si>
  <si>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</si>
  <si>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</si>
  <si>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</si>
  <si>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</si>
  <si>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</si>
  <si>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</si>
  <si>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</si>
  <si>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</si>
  <si>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</si>
  <si>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</si>
  <si>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Vivienda</t>
  </si>
  <si>
    <t xml:space="preserve">Alimentación</t>
  </si>
  <si>
    <t xml:space="preserve">Transporte</t>
  </si>
  <si>
    <t xml:space="preserve">Salud</t>
  </si>
  <si>
    <t xml:space="preserve">Entretenimiento</t>
  </si>
  <si>
    <t xml:space="preserve">Otros</t>
  </si>
  <si>
    <t xml:space="preserve">Total 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</si>
</sst>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-$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302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6302A"/>
        <bgColor rgb="FF003300"/>
      </patternFill>
    </fill>
    <fill>
      <patternFill patternType="solid">
        <fgColor rgb="FFFFF2CC"/>
        <bgColor rgb="FFF3EFE1"/>
      </patternFill>
    </fill>
    <fill>
      <patternFill patternType="solid">
        <fgColor rgb="FFF3EFE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080"/>
      <rgbColor rgb="FFCCCCCC"/>
      <rgbColor rgb="FF878787"/>
      <rgbColor rgb="FF93A9CE"/>
      <rgbColor rgb="FFAB4744"/>
      <rgbColor rgb="FFFFF2CC"/>
      <rgbColor rgb="FFF9F9F9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8CD97"/>
      <rgbColor rgb="FFF3EFE1"/>
      <rgbColor rgb="FFFFFF99"/>
      <rgbColor rgb="FF92C3D5"/>
      <rgbColor rgb="FFD09493"/>
      <rgbColor rgb="FFCC99FF"/>
      <rgbColor rgb="FFF8B590"/>
      <rgbColor rgb="FF4672A8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666666"/>
      <rgbColor rgb="FF333399"/>
      <rgbColor rgb="FF163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total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anuales'!$B$11</c:f>
              <c:numCache>
                <c:formatCode>\$#,##0;[RED]"-$"#,##0</c:formatCode>
                <c:ptCount val="1"/>
                <c:pt idx="0">
                  <c:v>550000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anuales'!$C$11</c:f>
              <c:numCache>
                <c:formatCode>\$#,##0;[RED]"-$"#,##0</c:formatCode>
                <c:ptCount val="1"/>
                <c:pt idx="0">
                  <c:v>540000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anuales'!$D$11</c:f>
              <c:numCache>
                <c:formatCode>\$#,##0;[RED]"-$"#,##0</c:formatCode>
                <c:ptCount val="1"/>
                <c:pt idx="0">
                  <c:v>590000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anuales'!$E$11</c:f>
              <c:numCache>
                <c:formatCode>\$#,##0;[RED]"-$"#,##0</c:formatCode>
                <c:ptCount val="1"/>
                <c:pt idx="0">
                  <c:v>555000</c:v>
                </c:pt>
              </c:numCache>
            </c:numRef>
          </c:val>
        </c:ser>
        <c:ser>
          <c:idx val="4"/>
          <c:order val="4"/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anuales'!$F$11</c:f>
              <c:numCache>
                <c:formatCode>\$#,##0;[RED]"-$"#,##0</c:formatCode>
                <c:ptCount val="1"/>
                <c:pt idx="0">
                  <c:v>545000</c:v>
                </c:pt>
              </c:numCache>
            </c:numRef>
          </c:val>
        </c:ser>
        <c:ser>
          <c:idx val="5"/>
          <c:order val="5"/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anuales'!$G$11</c:f>
              <c:numCache>
                <c:formatCode>\$#,##0;[RED]"-$"#,##0</c:formatCode>
                <c:ptCount val="1"/>
                <c:pt idx="0">
                  <c:v>558000</c:v>
                </c:pt>
              </c:numCache>
            </c:numRef>
          </c:val>
        </c:ser>
        <c:ser>
          <c:idx val="6"/>
          <c:order val="6"/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anuales'!$H$11</c:f>
              <c:numCache>
                <c:formatCode>\$#,##0;[RED]"-$"#,##0</c:formatCode>
                <c:ptCount val="1"/>
                <c:pt idx="0">
                  <c:v>617000</c:v>
                </c:pt>
              </c:numCache>
            </c:numRef>
          </c:val>
        </c:ser>
        <c:ser>
          <c:idx val="7"/>
          <c:order val="7"/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anuales'!$I$11</c:f>
              <c:numCache>
                <c:formatCode>\$#,##0;[RED]"-$"#,##0</c:formatCode>
                <c:ptCount val="1"/>
                <c:pt idx="0">
                  <c:v>550000</c:v>
                </c:pt>
              </c:numCache>
            </c:numRef>
          </c:val>
        </c:ser>
        <c:ser>
          <c:idx val="8"/>
          <c:order val="8"/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anuales'!$J$11</c:f>
              <c:numCache>
                <c:formatCode>\$#,##0;[RED]"-$"#,##0</c:formatCode>
                <c:ptCount val="1"/>
                <c:pt idx="0">
                  <c:v>543000</c:v>
                </c:pt>
              </c:numCache>
            </c:numRef>
          </c:val>
        </c:ser>
        <c:ser>
          <c:idx val="9"/>
          <c:order val="9"/>
          <c:spPr>
            <a:solidFill>
              <a:srgbClr val="a99b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anuales'!$K$11</c:f>
              <c:numCache>
                <c:formatCode>\$#,##0;[RED]"-$"#,##0</c:formatCode>
                <c:ptCount val="1"/>
                <c:pt idx="0">
                  <c:v>553000</c:v>
                </c:pt>
              </c:numCache>
            </c:numRef>
          </c:val>
        </c:ser>
        <c:ser>
          <c:idx val="10"/>
          <c:order val="10"/>
          <c:spPr>
            <a:solidFill>
              <a:srgbClr val="92c3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anuales'!$L$11</c:f>
              <c:numCache>
                <c:formatCode>\$#,##0;[RED]"-$"#,##0</c:formatCode>
                <c:ptCount val="1"/>
                <c:pt idx="0">
                  <c:v>575000</c:v>
                </c:pt>
              </c:numCache>
            </c:numRef>
          </c:val>
        </c:ser>
        <c:ser>
          <c:idx val="11"/>
          <c:order val="11"/>
          <c:spPr>
            <a:solidFill>
              <a:srgbClr val="f8b5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'Gastos anuales'!$B$4:$M$4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'Gastos anuales'!$M$11</c:f>
              <c:numCache>
                <c:formatCode>\$#,##0;[RED]"-$"#,##0</c:formatCode>
                <c:ptCount val="1"/>
                <c:pt idx="0">
                  <c:v>645000</c:v>
                </c:pt>
              </c:numCache>
            </c:numRef>
          </c:val>
        </c:ser>
        <c:gapWidth val="150"/>
        <c:overlap val="0"/>
        <c:axId val="59610047"/>
        <c:axId val="12869605"/>
      </c:barChart>
      <c:catAx>
        <c:axId val="596100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69605"/>
        <c:crosses val="autoZero"/>
        <c:auto val="1"/>
        <c:lblAlgn val="ctr"/>
        <c:lblOffset val="100"/>
        <c:noMultiLvlLbl val="0"/>
      </c:catAx>
      <c:valAx>
        <c:axId val="12869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(CLP)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100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10</xdr:col>
      <xdr:colOff>110880</xdr:colOff>
      <xdr:row>31</xdr:row>
      <xdr:rowOff>170640</xdr:rowOff>
    </xdr:to>
    <xdr:graphicFrame>
      <xdr:nvGraphicFramePr>
        <xdr:cNvPr id="0" name="Chart 1"/>
        <xdr:cNvGraphicFramePr/>
      </xdr:nvGraphicFramePr>
      <xdr:xfrm>
        <a:off x="0" y="2638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1"/>
    <col collapsed="false" customWidth="true" hidden="false" outlineLevel="0" max="15" min="1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false" outlineLevel="0" collapsed="false">
      <c r="A5" s="5" t="s">
        <v>16</v>
      </c>
      <c r="B5" s="6" t="n">
        <v>310000</v>
      </c>
      <c r="C5" s="6" t="n">
        <v>310000</v>
      </c>
      <c r="D5" s="6" t="n">
        <v>310000</v>
      </c>
      <c r="E5" s="6" t="n">
        <v>310000</v>
      </c>
      <c r="F5" s="6" t="n">
        <v>310000</v>
      </c>
      <c r="G5" s="6" t="n">
        <v>310000</v>
      </c>
      <c r="H5" s="6" t="n">
        <v>310000</v>
      </c>
      <c r="I5" s="6" t="n">
        <v>310000</v>
      </c>
      <c r="J5" s="6" t="n">
        <v>310000</v>
      </c>
      <c r="K5" s="6" t="n">
        <v>310000</v>
      </c>
      <c r="L5" s="6" t="n">
        <v>310000</v>
      </c>
      <c r="M5" s="6" t="n">
        <v>310000</v>
      </c>
      <c r="N5" s="7" t="n">
        <f aca="false">SUM(B5:M5)</f>
        <v>3720000</v>
      </c>
    </row>
    <row r="6" customFormat="false" ht="15" hidden="false" customHeight="false" outlineLevel="0" collapsed="false">
      <c r="A6" s="5" t="s">
        <v>17</v>
      </c>
      <c r="B6" s="6" t="n">
        <v>130000</v>
      </c>
      <c r="C6" s="6" t="n">
        <v>125000</v>
      </c>
      <c r="D6" s="6" t="n">
        <v>140000</v>
      </c>
      <c r="E6" s="6" t="n">
        <v>135000</v>
      </c>
      <c r="F6" s="6" t="n">
        <v>130000</v>
      </c>
      <c r="G6" s="6" t="n">
        <v>138000</v>
      </c>
      <c r="H6" s="6" t="n">
        <v>142000</v>
      </c>
      <c r="I6" s="6" t="n">
        <v>130000</v>
      </c>
      <c r="J6" s="6" t="n">
        <v>128000</v>
      </c>
      <c r="K6" s="6" t="n">
        <v>133000</v>
      </c>
      <c r="L6" s="6" t="n">
        <v>150000</v>
      </c>
      <c r="M6" s="6" t="n">
        <v>170000</v>
      </c>
      <c r="N6" s="7" t="n">
        <f aca="false">SUM(B6:M6)</f>
        <v>1651000</v>
      </c>
    </row>
    <row r="7" customFormat="false" ht="15" hidden="false" customHeight="false" outlineLevel="0" collapsed="false">
      <c r="A7" s="5" t="s">
        <v>18</v>
      </c>
      <c r="B7" s="6" t="n">
        <v>40000</v>
      </c>
      <c r="C7" s="6" t="n">
        <v>40000</v>
      </c>
      <c r="D7" s="6" t="n">
        <v>40000</v>
      </c>
      <c r="E7" s="6" t="n">
        <v>40000</v>
      </c>
      <c r="F7" s="6" t="n">
        <v>40000</v>
      </c>
      <c r="G7" s="6" t="n">
        <v>40000</v>
      </c>
      <c r="H7" s="6" t="n">
        <v>40000</v>
      </c>
      <c r="I7" s="6" t="n">
        <v>40000</v>
      </c>
      <c r="J7" s="6" t="n">
        <v>40000</v>
      </c>
      <c r="K7" s="6" t="n">
        <v>40000</v>
      </c>
      <c r="L7" s="6" t="n">
        <v>40000</v>
      </c>
      <c r="M7" s="6" t="n">
        <v>40000</v>
      </c>
      <c r="N7" s="7" t="n">
        <f aca="false">SUM(B7:M7)</f>
        <v>480000</v>
      </c>
    </row>
    <row r="8" customFormat="false" ht="15" hidden="false" customHeight="false" outlineLevel="0" collapsed="false">
      <c r="A8" s="5" t="s">
        <v>19</v>
      </c>
      <c r="B8" s="6" t="n">
        <v>15000</v>
      </c>
      <c r="C8" s="6" t="n">
        <v>15000</v>
      </c>
      <c r="D8" s="6" t="n">
        <v>40000</v>
      </c>
      <c r="E8" s="6" t="n">
        <v>15000</v>
      </c>
      <c r="F8" s="6" t="n">
        <v>15000</v>
      </c>
      <c r="G8" s="6" t="n">
        <v>15000</v>
      </c>
      <c r="H8" s="6" t="n">
        <v>60000</v>
      </c>
      <c r="I8" s="6" t="n">
        <v>15000</v>
      </c>
      <c r="J8" s="6" t="n">
        <v>15000</v>
      </c>
      <c r="K8" s="6" t="n">
        <v>15000</v>
      </c>
      <c r="L8" s="6" t="n">
        <v>15000</v>
      </c>
      <c r="M8" s="6" t="n">
        <v>15000</v>
      </c>
      <c r="N8" s="7" t="n">
        <f aca="false">SUM(B8:M8)</f>
        <v>250000</v>
      </c>
    </row>
    <row r="9" customFormat="false" ht="15" hidden="false" customHeight="false" outlineLevel="0" collapsed="false">
      <c r="A9" s="5" t="s">
        <v>20</v>
      </c>
      <c r="B9" s="6" t="n">
        <v>35000</v>
      </c>
      <c r="C9" s="6" t="n">
        <v>30000</v>
      </c>
      <c r="D9" s="6" t="n">
        <v>40000</v>
      </c>
      <c r="E9" s="6" t="n">
        <v>35000</v>
      </c>
      <c r="F9" s="6" t="n">
        <v>30000</v>
      </c>
      <c r="G9" s="6" t="n">
        <v>35000</v>
      </c>
      <c r="H9" s="6" t="n">
        <v>45000</v>
      </c>
      <c r="I9" s="6" t="n">
        <v>35000</v>
      </c>
      <c r="J9" s="6" t="n">
        <v>30000</v>
      </c>
      <c r="K9" s="6" t="n">
        <v>35000</v>
      </c>
      <c r="L9" s="6" t="n">
        <v>40000</v>
      </c>
      <c r="M9" s="6" t="n">
        <v>90000</v>
      </c>
      <c r="N9" s="7" t="n">
        <f aca="false">SUM(B9:M9)</f>
        <v>480000</v>
      </c>
    </row>
    <row r="10" customFormat="false" ht="15" hidden="false" customHeight="false" outlineLevel="0" collapsed="false">
      <c r="A10" s="5" t="s">
        <v>21</v>
      </c>
      <c r="B10" s="6" t="n">
        <v>20000</v>
      </c>
      <c r="C10" s="6" t="n">
        <v>20000</v>
      </c>
      <c r="D10" s="6" t="n">
        <v>20000</v>
      </c>
      <c r="E10" s="6" t="n">
        <v>20000</v>
      </c>
      <c r="F10" s="6" t="n">
        <v>20000</v>
      </c>
      <c r="G10" s="6" t="n">
        <v>20000</v>
      </c>
      <c r="H10" s="6" t="n">
        <v>20000</v>
      </c>
      <c r="I10" s="6" t="n">
        <v>20000</v>
      </c>
      <c r="J10" s="6" t="n">
        <v>20000</v>
      </c>
      <c r="K10" s="6" t="n">
        <v>20000</v>
      </c>
      <c r="L10" s="6" t="n">
        <v>20000</v>
      </c>
      <c r="M10" s="6" t="n">
        <v>20000</v>
      </c>
      <c r="N10" s="7" t="n">
        <f aca="false">SUM(B10:M10)</f>
        <v>240000</v>
      </c>
    </row>
    <row r="11" customFormat="false" ht="15" hidden="false" customHeight="false" outlineLevel="0" collapsed="false">
      <c r="A11" s="8" t="s">
        <v>22</v>
      </c>
      <c r="B11" s="9" t="n">
        <f aca="false">SUM(B5:B10)</f>
        <v>550000</v>
      </c>
      <c r="C11" s="9" t="n">
        <f aca="false">SUM(C5:C10)</f>
        <v>540000</v>
      </c>
      <c r="D11" s="9" t="n">
        <f aca="false">SUM(D5:D10)</f>
        <v>590000</v>
      </c>
      <c r="E11" s="9" t="n">
        <f aca="false">SUM(E5:E10)</f>
        <v>555000</v>
      </c>
      <c r="F11" s="9" t="n">
        <f aca="false">SUM(F5:F10)</f>
        <v>545000</v>
      </c>
      <c r="G11" s="9" t="n">
        <f aca="false">SUM(G5:G10)</f>
        <v>558000</v>
      </c>
      <c r="H11" s="9" t="n">
        <f aca="false">SUM(H5:H10)</f>
        <v>617000</v>
      </c>
      <c r="I11" s="9" t="n">
        <f aca="false">SUM(I5:I10)</f>
        <v>550000</v>
      </c>
      <c r="J11" s="9" t="n">
        <f aca="false">SUM(J5:J10)</f>
        <v>543000</v>
      </c>
      <c r="K11" s="9" t="n">
        <f aca="false">SUM(K5:K10)</f>
        <v>553000</v>
      </c>
      <c r="L11" s="9" t="n">
        <f aca="false">SUM(L5:L10)</f>
        <v>575000</v>
      </c>
      <c r="M11" s="9" t="n">
        <f aca="false">SUM(M5:M10)</f>
        <v>645000</v>
      </c>
      <c r="N11" s="9" t="n">
        <f aca="false">SUM(B11:M11)</f>
        <v>6821000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2026-08-02T07:34:12Z</dcterms:created>
  <dc:creator>openpyxl</dc:creator>
  <dc:description/>
  <dc:language>en-US</dc:language>
  <cp:lastModifiedBy/>
  <dcterms:modified xsi:type="dcterms:W3CDTF">2026-08-02T07:34:14Z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